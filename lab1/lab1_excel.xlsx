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MyDirectory\Code\StudySubjects\Методы оптимизации\lab1\"/>
    </mc:Choice>
  </mc:AlternateContent>
  <xr:revisionPtr revIDLastSave="0" documentId="13_ncr:1_{16B2C965-5B52-410E-8D8F-08837F90A28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Модель" sheetId="1" r:id="rId1"/>
  </sheets>
  <definedNames>
    <definedName name="solver_adj" localSheetId="0" hidden="1">Модель!$B$10:$E$10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Модель!$B$13</definedName>
    <definedName name="solver_lhs2" localSheetId="0" hidden="1">Модель!$B$14</definedName>
    <definedName name="solver_lhs3" localSheetId="0" hidden="1">Модель!$B$15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Модель!$B$18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2</definedName>
    <definedName name="solver_rel3" localSheetId="0" hidden="1">3</definedName>
    <definedName name="solver_rhs1" localSheetId="0" hidden="1">Модель!$D$13</definedName>
    <definedName name="solver_rhs2" localSheetId="0" hidden="1">Модель!$D$14</definedName>
    <definedName name="solver_rhs3" localSheetId="0" hidden="1">Модель!$D$15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2" i="1" l="1"/>
  <c r="D22" i="1"/>
  <c r="C22" i="1"/>
  <c r="B22" i="1"/>
  <c r="F21" i="1"/>
  <c r="B18" i="1"/>
  <c r="F22" i="1" s="1"/>
  <c r="E16" i="1"/>
  <c r="D15" i="1"/>
  <c r="C15" i="1"/>
  <c r="B15" i="1"/>
  <c r="D14" i="1"/>
  <c r="C14" i="1"/>
  <c r="B14" i="1"/>
  <c r="E14" i="1" s="1"/>
  <c r="D13" i="1"/>
  <c r="C13" i="1"/>
  <c r="B13" i="1"/>
  <c r="E13" i="1" s="1"/>
  <c r="B23" i="1" l="1"/>
  <c r="E15" i="1"/>
</calcChain>
</file>

<file path=xl/sharedStrings.xml><?xml version="1.0" encoding="utf-8"?>
<sst xmlns="http://schemas.openxmlformats.org/spreadsheetml/2006/main" count="36" uniqueCount="28">
  <si>
    <t>x1</t>
  </si>
  <si>
    <t>x2</t>
  </si>
  <si>
    <t>x3</t>
  </si>
  <si>
    <t>x4</t>
  </si>
  <si>
    <t>Знак</t>
  </si>
  <si>
    <t>Правая часть b</t>
  </si>
  <si>
    <t>Целевая функция Z (коэффициенты c)</t>
  </si>
  <si>
    <t>min</t>
  </si>
  <si>
    <t>Ограничение 1</t>
  </si>
  <si>
    <t>&lt;=</t>
  </si>
  <si>
    <t>Ограничение 2</t>
  </si>
  <si>
    <t>=</t>
  </si>
  <si>
    <t>Ограничение 3</t>
  </si>
  <si>
    <t>&gt;=</t>
  </si>
  <si>
    <t>Переменные x (изменяемые ячейки)</t>
  </si>
  <si>
    <t>Проверка ограничений</t>
  </si>
  <si>
    <t>Левая часть</t>
  </si>
  <si>
    <t>Правая часть</t>
  </si>
  <si>
    <t>Выполнено?</t>
  </si>
  <si>
    <t>Неотрицательность x ≥ 0</t>
  </si>
  <si>
    <t>Целевая функция Z</t>
  </si>
  <si>
    <t>Сверка с ручным решением</t>
  </si>
  <si>
    <t>Z</t>
  </si>
  <si>
    <t>Ручное решение (симплекс-метод)</t>
  </si>
  <si>
    <t>Excel (Поиск решения)</t>
  </si>
  <si>
    <t>Результат сверки</t>
  </si>
  <si>
    <t>Вариант 20:  Z = x1 + 2x2 + 4x3 + x4 → min,  x ≥ 0</t>
  </si>
  <si>
    <t>Синий — исходные данные;  жёлтый — изменяемые ячейки Поиска решения;  чёрный — формулы.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</si>
</sst>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2"/>
      <color rgb="FF000000"/>
      <name val="Arial"/>
      <family val="2"/>
      <charset val="204"/>
    </font>
    <font>
      <sz val="10"/>
      <color rgb="FF555555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0000FF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5"/>
  <sheetViews>
    <sheetView tabSelected="1" zoomScaleNormal="100" workbookViewId="0">
      <selection activeCell="G31" sqref="G31"/>
    </sheetView>
  </sheetViews>
  <sheetFormatPr defaultColWidth="8.7109375" defaultRowHeight="15" x14ac:dyDescent="0.25"/>
  <cols>
    <col min="1" max="1" width="40" customWidth="1"/>
    <col min="2" max="6" width="12" customWidth="1"/>
    <col min="7" max="7" width="16" customWidth="1"/>
  </cols>
  <sheetData>
    <row r="1" spans="1:7" ht="15.75" x14ac:dyDescent="0.25">
      <c r="A1" s="2" t="s">
        <v>26</v>
      </c>
    </row>
    <row r="2" spans="1:7" x14ac:dyDescent="0.25">
      <c r="A2" s="3" t="s">
        <v>27</v>
      </c>
    </row>
    <row r="4" spans="1:7" x14ac:dyDescent="0.25">
      <c r="A4" s="4"/>
      <c r="B4" s="4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</row>
    <row r="5" spans="1:7" x14ac:dyDescent="0.25">
      <c r="A5" s="5" t="s">
        <v>6</v>
      </c>
      <c r="B5" s="6">
        <v>1</v>
      </c>
      <c r="C5" s="6">
        <v>2</v>
      </c>
      <c r="D5" s="6">
        <v>4</v>
      </c>
      <c r="E5" s="6">
        <v>1</v>
      </c>
      <c r="F5" s="6" t="s">
        <v>7</v>
      </c>
      <c r="G5" s="7"/>
    </row>
    <row r="6" spans="1:7" x14ac:dyDescent="0.25">
      <c r="A6" s="5" t="s">
        <v>8</v>
      </c>
      <c r="B6" s="6">
        <v>1</v>
      </c>
      <c r="C6" s="6">
        <v>1</v>
      </c>
      <c r="D6" s="6">
        <v>1</v>
      </c>
      <c r="E6" s="6">
        <v>0</v>
      </c>
      <c r="F6" s="6" t="s">
        <v>9</v>
      </c>
      <c r="G6" s="6">
        <v>10</v>
      </c>
    </row>
    <row r="7" spans="1:7" x14ac:dyDescent="0.25">
      <c r="A7" s="5" t="s">
        <v>10</v>
      </c>
      <c r="B7" s="6">
        <v>0</v>
      </c>
      <c r="C7" s="6">
        <v>1</v>
      </c>
      <c r="D7" s="6">
        <v>2</v>
      </c>
      <c r="E7" s="6">
        <v>1</v>
      </c>
      <c r="F7" s="6" t="s">
        <v>11</v>
      </c>
      <c r="G7" s="6">
        <v>6</v>
      </c>
    </row>
    <row r="8" spans="1:7" x14ac:dyDescent="0.25">
      <c r="A8" s="5" t="s">
        <v>12</v>
      </c>
      <c r="B8" s="6">
        <v>1</v>
      </c>
      <c r="C8" s="6">
        <v>0</v>
      </c>
      <c r="D8" s="6">
        <v>0</v>
      </c>
      <c r="E8" s="6">
        <v>1</v>
      </c>
      <c r="F8" s="6" t="s">
        <v>13</v>
      </c>
      <c r="G8" s="6">
        <v>2</v>
      </c>
    </row>
    <row r="10" spans="1:7" x14ac:dyDescent="0.25">
      <c r="A10" s="8" t="s">
        <v>14</v>
      </c>
      <c r="B10" s="9">
        <v>0</v>
      </c>
      <c r="C10" s="9">
        <v>0</v>
      </c>
      <c r="D10" s="9">
        <v>0</v>
      </c>
      <c r="E10" s="9">
        <v>5.9999999999999991</v>
      </c>
    </row>
    <row r="12" spans="1:7" x14ac:dyDescent="0.25">
      <c r="A12" s="4" t="s">
        <v>15</v>
      </c>
      <c r="B12" s="4" t="s">
        <v>16</v>
      </c>
      <c r="C12" s="4" t="s">
        <v>4</v>
      </c>
      <c r="D12" s="4" t="s">
        <v>17</v>
      </c>
      <c r="E12" s="4" t="s">
        <v>18</v>
      </c>
    </row>
    <row r="13" spans="1:7" x14ac:dyDescent="0.25">
      <c r="A13" s="5" t="s">
        <v>8</v>
      </c>
      <c r="B13" s="7">
        <f>SUMPRODUCT(B6:E6,$B$10:$E$10)</f>
        <v>0</v>
      </c>
      <c r="C13" s="7" t="str">
        <f t="shared" ref="C13:D15" si="0">F6</f>
        <v>&lt;=</v>
      </c>
      <c r="D13" s="7">
        <f t="shared" si="0"/>
        <v>10</v>
      </c>
      <c r="E13" s="7" t="str">
        <f>IF(C13="&lt;=",IF(B13&lt;=D13+0.000001,"да","нет"),IF(C13="&gt;=",IF(B13&gt;=D13-0.000001,"да","нет"),IF(ABS(B13-D13)&lt;=0.000001,"да","нет")))</f>
        <v>да</v>
      </c>
    </row>
    <row r="14" spans="1:7" x14ac:dyDescent="0.25">
      <c r="A14" s="5" t="s">
        <v>10</v>
      </c>
      <c r="B14" s="7">
        <f>SUMPRODUCT(B7:E7,$B$10:$E$10)</f>
        <v>5.9999999999999991</v>
      </c>
      <c r="C14" s="7" t="str">
        <f t="shared" si="0"/>
        <v>=</v>
      </c>
      <c r="D14" s="7">
        <f t="shared" si="0"/>
        <v>6</v>
      </c>
      <c r="E14" s="7" t="str">
        <f>IF(C14="&lt;=",IF(B14&lt;=D14+0.000001,"да","нет"),IF(C14="&gt;=",IF(B14&gt;=D14-0.000001,"да","нет"),IF(ABS(B14-D14)&lt;=0.000001,"да","нет")))</f>
        <v>да</v>
      </c>
    </row>
    <row r="15" spans="1:7" x14ac:dyDescent="0.25">
      <c r="A15" s="5" t="s">
        <v>12</v>
      </c>
      <c r="B15" s="7">
        <f>SUMPRODUCT(B8:E8,$B$10:$E$10)</f>
        <v>5.9999999999999991</v>
      </c>
      <c r="C15" s="7" t="str">
        <f t="shared" si="0"/>
        <v>&gt;=</v>
      </c>
      <c r="D15" s="7">
        <f t="shared" si="0"/>
        <v>2</v>
      </c>
      <c r="E15" s="7" t="str">
        <f>IF(C15="&lt;=",IF(B15&lt;=D15+0.000001,"да","нет"),IF(C15="&gt;=",IF(B15&gt;=D15-0.000001,"да","нет"),IF(ABS(B15-D15)&lt;=0.000001,"да","нет")))</f>
        <v>да</v>
      </c>
    </row>
    <row r="16" spans="1:7" x14ac:dyDescent="0.25">
      <c r="A16" s="5" t="s">
        <v>19</v>
      </c>
      <c r="B16" s="7"/>
      <c r="C16" s="7"/>
      <c r="D16" s="7"/>
      <c r="E16" s="7" t="str">
        <f>IF(MIN(B10:E10)&gt;=0,"да","нет")</f>
        <v>да</v>
      </c>
    </row>
    <row r="18" spans="1:6" x14ac:dyDescent="0.25">
      <c r="A18" s="8" t="s">
        <v>20</v>
      </c>
      <c r="B18" s="10">
        <f>SUMPRODUCT(B5:E5,B10:E10)</f>
        <v>5.9999999999999991</v>
      </c>
    </row>
    <row r="20" spans="1:6" x14ac:dyDescent="0.25">
      <c r="A20" s="4" t="s">
        <v>21</v>
      </c>
      <c r="B20" s="4" t="s">
        <v>0</v>
      </c>
      <c r="C20" s="4" t="s">
        <v>1</v>
      </c>
      <c r="D20" s="4" t="s">
        <v>2</v>
      </c>
      <c r="E20" s="4" t="s">
        <v>3</v>
      </c>
      <c r="F20" s="4" t="s">
        <v>22</v>
      </c>
    </row>
    <row r="21" spans="1:6" x14ac:dyDescent="0.25">
      <c r="A21" s="5" t="s">
        <v>23</v>
      </c>
      <c r="B21" s="6">
        <v>0</v>
      </c>
      <c r="C21" s="6">
        <v>0</v>
      </c>
      <c r="D21" s="6">
        <v>0</v>
      </c>
      <c r="E21" s="6">
        <v>6</v>
      </c>
      <c r="F21" s="7">
        <f>SUMPRODUCT(B5:E5,B21:E21)</f>
        <v>6</v>
      </c>
    </row>
    <row r="22" spans="1:6" x14ac:dyDescent="0.25">
      <c r="A22" s="5" t="s">
        <v>24</v>
      </c>
      <c r="B22" s="7">
        <f>B10</f>
        <v>0</v>
      </c>
      <c r="C22" s="7">
        <f>C10</f>
        <v>0</v>
      </c>
      <c r="D22" s="7">
        <f>D10</f>
        <v>0</v>
      </c>
      <c r="E22" s="7">
        <f>E10</f>
        <v>5.9999999999999991</v>
      </c>
      <c r="F22" s="7">
        <f>B18</f>
        <v>5.9999999999999991</v>
      </c>
    </row>
    <row r="23" spans="1:6" x14ac:dyDescent="0.25">
      <c r="A23" s="8" t="s">
        <v>25</v>
      </c>
      <c r="B23" s="1" t="str">
        <f>IF(AND(SUMPRODUCT(ABS(B22:E22-B21:E21))&lt;0.000001,ABS(F22-F21)&lt;0.000001),"совпадает","не совпадает")</f>
        <v>совпадает</v>
      </c>
      <c r="C23" s="1"/>
    </row>
    <row r="25" spans="1:6" x14ac:dyDescent="0.25">
      <c r="A25" s="3"/>
    </row>
  </sheetData>
  <scenarios current="0">
    <scenario name="lab1" count="4" user="Mur" comment="Автор: Mur , 10/5/2026">
      <inputCells r="B10" val="0"/>
      <inputCells r="C10" val="0"/>
      <inputCells r="D10" val="0"/>
      <inputCells r="E10" val="6"/>
    </scenario>
  </scenarios>
  <mergeCells count="1">
    <mergeCell ref="B23:C23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Модель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Никита Мур</cp:lastModifiedBy>
  <cp:revision>0</cp:revision>
  <dcterms:created xsi:type="dcterms:W3CDTF">2026-10-05T09:32:23Z</dcterms:created>
  <dcterms:modified xsi:type="dcterms:W3CDTF">2026-10-05T10:32:42Z</dcterms:modified>
  <dc:language>en-US</dc:language>
</cp:coreProperties>
</file>